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maso\Downloads\"/>
    </mc:Choice>
  </mc:AlternateContent>
  <xr:revisionPtr revIDLastSave="0" documentId="13_ncr:1_{11AD1C10-C40F-4414-8739-B65C10D71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" sheetId="1" r:id="rId1"/>
    <sheet name="Documentation" sheetId="2" r:id="rId2"/>
  </sheets>
  <definedNames>
    <definedName name="EUR_PV">Model!$B$17</definedName>
    <definedName name="F0">Model!$B$5</definedName>
    <definedName name="FC_AMT">Model!$B$3</definedName>
    <definedName name="K_put">Model!$B$9</definedName>
    <definedName name="Premium_cost">Model!$B$22</definedName>
    <definedName name="Premium_put">Model!$B$10</definedName>
    <definedName name="r_EUR">Model!$B$7</definedName>
    <definedName name="r_USD">Model!$B$6</definedName>
    <definedName name="S0">Model!$B$4</definedName>
    <definedName name="t">Model!$B$8</definedName>
    <definedName name="USD_forward">Model!$B$14</definedName>
    <definedName name="USD_mm">Model!$B$19</definedName>
    <definedName name="USD_PV">Model!$B$18</definedName>
  </definedNames>
  <calcPr calcId="181029"/>
</workbook>
</file>

<file path=xl/calcChain.xml><?xml version="1.0" encoding="utf-8"?>
<calcChain xmlns="http://schemas.openxmlformats.org/spreadsheetml/2006/main">
  <c r="C46" i="1" l="1"/>
  <c r="C44" i="1"/>
  <c r="C43" i="1"/>
  <c r="C42" i="1"/>
  <c r="E34" i="1"/>
  <c r="C34" i="1"/>
  <c r="B34" i="1"/>
  <c r="B33" i="1"/>
  <c r="E32" i="1"/>
  <c r="B32" i="1"/>
  <c r="B31" i="1"/>
  <c r="E30" i="1"/>
  <c r="C30" i="1"/>
  <c r="D38" i="1" s="1"/>
  <c r="B30" i="1"/>
  <c r="B22" i="1"/>
  <c r="E33" i="1" s="1"/>
  <c r="B17" i="1"/>
  <c r="B18" i="1" s="1"/>
  <c r="B14" i="1"/>
  <c r="C33" i="1" s="1"/>
  <c r="C32" i="1" l="1"/>
  <c r="C45" i="1"/>
  <c r="B19" i="1"/>
  <c r="C38" i="1" s="1"/>
  <c r="C31" i="1"/>
  <c r="E31" i="1"/>
  <c r="D34" i="1" l="1"/>
  <c r="D32" i="1"/>
  <c r="D30" i="1"/>
  <c r="D33" i="1"/>
  <c r="D31" i="1"/>
</calcChain>
</file>

<file path=xl/sharedStrings.xml><?xml version="1.0" encoding="utf-8"?>
<sst xmlns="http://schemas.openxmlformats.org/spreadsheetml/2006/main" count="77" uniqueCount="66">
  <si>
    <t>FX HEDGING MODEL - PRITTS SPEC</t>
  </si>
  <si>
    <t>INPUT VARIABLES</t>
  </si>
  <si>
    <t>VALUE</t>
  </si>
  <si>
    <t>FC_AMT</t>
  </si>
  <si>
    <t>S0</t>
  </si>
  <si>
    <t>F0</t>
  </si>
  <si>
    <t>r_USD</t>
  </si>
  <si>
    <t>r_EUR</t>
  </si>
  <si>
    <t>t</t>
  </si>
  <si>
    <t>K_put</t>
  </si>
  <si>
    <t>Premium_put</t>
  </si>
  <si>
    <t>1. FORWARD HEDGE</t>
  </si>
  <si>
    <t>USD_forward</t>
  </si>
  <si>
    <t>2. MONEY MARKET HEDGE (3-Step)</t>
  </si>
  <si>
    <t>Step 1: PV of EUR Receivable (EUR_PV)</t>
  </si>
  <si>
    <t>Step 2: Convert to USD at Spot (USD_PV)</t>
  </si>
  <si>
    <t>Step 3: Invest at USD Rate (USD_mm)</t>
  </si>
  <si>
    <t>3. PUT OPTION HEDGE</t>
  </si>
  <si>
    <t>Premium Cost (USD)</t>
  </si>
  <si>
    <t>USD_put (Payoff Logic)</t>
  </si>
  <si>
    <t>See Sensitivity Table</t>
  </si>
  <si>
    <t>4. UNHEDGED BENCHMARK</t>
  </si>
  <si>
    <t>USD_unhedged</t>
  </si>
  <si>
    <t>5. SENSITIVITY ANALYSIS (Spot Scenarios)</t>
  </si>
  <si>
    <t>Future Spot (S_T)</t>
  </si>
  <si>
    <t>USD_mm</t>
  </si>
  <si>
    <t>USD_put</t>
  </si>
  <si>
    <t>VALIDATION CHECKS</t>
  </si>
  <si>
    <t>1. Interest Rate Parity Check</t>
  </si>
  <si>
    <t>USD_forward - USD_mm</t>
  </si>
  <si>
    <t>2. Formula Audit</t>
  </si>
  <si>
    <t>Cell</t>
  </si>
  <si>
    <t>Variable Name</t>
  </si>
  <si>
    <t>Formula Description</t>
  </si>
  <si>
    <t>B14</t>
  </si>
  <si>
    <t>B18</t>
  </si>
  <si>
    <t>EUR_PV</t>
  </si>
  <si>
    <t>B19</t>
  </si>
  <si>
    <t>USD_PV</t>
  </si>
  <si>
    <t>B20</t>
  </si>
  <si>
    <t>B23</t>
  </si>
  <si>
    <t>Premium_cost</t>
  </si>
  <si>
    <t>E_Col</t>
  </si>
  <si>
    <t>DOCUMENTATION</t>
  </si>
  <si>
    <t>Model Goal</t>
  </si>
  <si>
    <t>Compare FX hedging strategies for an 8M EUR receivable.</t>
  </si>
  <si>
    <t>Author</t>
  </si>
  <si>
    <t>AI Assistant (PRITTS Spec)</t>
  </si>
  <si>
    <t>Parity Check</t>
  </si>
  <si>
    <t>The model validates that Forward Rate parity holds (USD_forward ≈ USD_mm).</t>
  </si>
  <si>
    <t>Variable Definitions</t>
  </si>
  <si>
    <t>Foreign Currency Amount (Receivable)</t>
  </si>
  <si>
    <t>Current Spot Rate (EUR/USD)</t>
  </si>
  <si>
    <t>Forward Rate (1-Year)</t>
  </si>
  <si>
    <t>r_USD / r_EUR</t>
  </si>
  <si>
    <t>Annual Risk-Free Interest Rates</t>
  </si>
  <si>
    <t>Put Option Strike Price</t>
  </si>
  <si>
    <t>Cost of Put Option per EUR</t>
  </si>
  <si>
    <t>Logic Explanation</t>
  </si>
  <si>
    <t>Forward Hedge</t>
  </si>
  <si>
    <t>Locks in the exchange rate at F0. Zero uncertainty.</t>
  </si>
  <si>
    <t>Money Market Hedge</t>
  </si>
  <si>
    <t>Replicates the Forward Hedge by borrowing/lending. Uses PV of foreign asset converted at Spot, then invested at Domestic rate.</t>
  </si>
  <si>
    <t>Put Option Hedge</t>
  </si>
  <si>
    <t>Provides downside protection (Strike K) while retaining upside potential if S_T &gt; K. Cost is the upfront premium.</t>
  </si>
  <si>
    <t>MAX(K_put, S_T)*FC_AMT - Premium_put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</si>
</sst>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4" fontId="0" fillId="3" borderId="2" xfId="0" applyNumberFormat="1" applyFill="1" applyBorder="1"/>
    <xf numFmtId="0" fontId="0" fillId="3" borderId="2" xfId="0" applyFill="1" applyBorder="1"/>
    <xf numFmtId="10" fontId="0" fillId="3" borderId="2" xfId="0" applyNumberFormat="1" applyFill="1" applyBorder="1"/>
    <xf numFmtId="4" fontId="2" fillId="4" borderId="2" xfId="0" applyNumberFormat="1" applyFont="1" applyFill="1" applyBorder="1"/>
    <xf numFmtId="4" fontId="0" fillId="5" borderId="2" xfId="0" applyNumberFormat="1" applyFill="1" applyBorder="1"/>
    <xf numFmtId="0" fontId="2" fillId="4" borderId="2" xfId="0" applyFont="1" applyFill="1" applyBorder="1"/>
    <xf numFmtId="0" fontId="2" fillId="0" borderId="1" xfId="0" applyFont="1" applyBorder="1"/>
    <xf numFmtId="164" fontId="0" fillId="5" borderId="2" xfId="0" applyNumberFormat="1" applyFill="1" applyBorder="1"/>
    <xf numFmtId="2" fontId="0" fillId="4" borderId="0" xfId="0" applyNumberFormat="1" applyFill="1"/>
    <xf numFmtId="0" fontId="3" fillId="0" borderId="0" xfId="0" applyFont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30.6640625" customWidth="1"/>
    <col min="2" max="2" width="22.44140625" customWidth="1"/>
    <col min="3" max="3" width="12.44140625" customWidth="1"/>
    <col min="4" max="4" width="30.6640625" customWidth="1"/>
    <col min="5" max="5" width="20.6640625" customWidth="1"/>
  </cols>
  <sheetData>
    <row r="1" spans="1:2" ht="15.6" x14ac:dyDescent="0.3">
      <c r="A1" s="1" t="s">
        <v>0</v>
      </c>
    </row>
    <row r="2" spans="1:2" ht="15.6" x14ac:dyDescent="0.3">
      <c r="A2" s="1" t="s">
        <v>1</v>
      </c>
      <c r="B2" s="1" t="s">
        <v>2</v>
      </c>
    </row>
    <row r="3" spans="1:2" x14ac:dyDescent="0.3">
      <c r="A3" t="s">
        <v>3</v>
      </c>
      <c r="B3" s="2">
        <v>8000000</v>
      </c>
    </row>
    <row r="4" spans="1:2" x14ac:dyDescent="0.3">
      <c r="A4" t="s">
        <v>4</v>
      </c>
      <c r="B4" s="3">
        <v>1.1599999999999999</v>
      </c>
    </row>
    <row r="5" spans="1:2" x14ac:dyDescent="0.3">
      <c r="A5" t="s">
        <v>5</v>
      </c>
      <c r="B5" s="3">
        <v>1.089</v>
      </c>
    </row>
    <row r="6" spans="1:2" x14ac:dyDescent="0.3">
      <c r="A6" t="s">
        <v>6</v>
      </c>
      <c r="B6" s="4">
        <v>3.5499999999999997E-2</v>
      </c>
    </row>
    <row r="7" spans="1:2" x14ac:dyDescent="0.3">
      <c r="A7" t="s">
        <v>7</v>
      </c>
      <c r="B7" s="4">
        <v>2.1499999999999998E-2</v>
      </c>
    </row>
    <row r="8" spans="1:2" x14ac:dyDescent="0.3">
      <c r="A8" t="s">
        <v>8</v>
      </c>
      <c r="B8" s="3">
        <v>1</v>
      </c>
    </row>
    <row r="9" spans="1:2" x14ac:dyDescent="0.3">
      <c r="A9" t="s">
        <v>9</v>
      </c>
      <c r="B9" s="3">
        <v>1.1599999999999999</v>
      </c>
    </row>
    <row r="10" spans="1:2" x14ac:dyDescent="0.3">
      <c r="A10" t="s">
        <v>10</v>
      </c>
      <c r="B10" s="3">
        <v>2.1000000000000001E-2</v>
      </c>
    </row>
    <row r="13" spans="1:2" ht="15.6" x14ac:dyDescent="0.3">
      <c r="A13" s="1" t="s">
        <v>11</v>
      </c>
    </row>
    <row r="14" spans="1:2" x14ac:dyDescent="0.3">
      <c r="A14" t="s">
        <v>12</v>
      </c>
      <c r="B14" s="5">
        <f>FC_AMT*F0</f>
        <v>8712000</v>
      </c>
    </row>
    <row r="16" spans="1:2" ht="15.6" x14ac:dyDescent="0.3">
      <c r="A16" s="1" t="s">
        <v>13</v>
      </c>
    </row>
    <row r="17" spans="1:5" x14ac:dyDescent="0.3">
      <c r="A17" t="s">
        <v>14</v>
      </c>
      <c r="B17" s="6">
        <f>FC_AMT/(1+r_EUR*t)</f>
        <v>7831620.1664219275</v>
      </c>
    </row>
    <row r="18" spans="1:5" x14ac:dyDescent="0.3">
      <c r="A18" t="s">
        <v>15</v>
      </c>
      <c r="B18" s="6">
        <f>EUR_PV*S0</f>
        <v>9084679.3930494357</v>
      </c>
    </row>
    <row r="19" spans="1:5" x14ac:dyDescent="0.3">
      <c r="A19" t="s">
        <v>16</v>
      </c>
      <c r="B19" s="5">
        <f>USD_PV*(1+r_USD*t)</f>
        <v>9407185.5115026906</v>
      </c>
    </row>
    <row r="21" spans="1:5" ht="15.6" x14ac:dyDescent="0.3">
      <c r="A21" s="1" t="s">
        <v>17</v>
      </c>
    </row>
    <row r="22" spans="1:5" x14ac:dyDescent="0.3">
      <c r="A22" t="s">
        <v>18</v>
      </c>
      <c r="B22" s="6">
        <f>FC_AMT*Premium_put</f>
        <v>168000</v>
      </c>
    </row>
    <row r="23" spans="1:5" x14ac:dyDescent="0.3">
      <c r="A23" t="s">
        <v>19</v>
      </c>
      <c r="B23" s="7" t="s">
        <v>20</v>
      </c>
    </row>
    <row r="25" spans="1:5" ht="15.6" x14ac:dyDescent="0.3">
      <c r="A25" s="1" t="s">
        <v>21</v>
      </c>
    </row>
    <row r="26" spans="1:5" x14ac:dyDescent="0.3">
      <c r="A26" t="s">
        <v>22</v>
      </c>
      <c r="B26" s="7" t="s">
        <v>20</v>
      </c>
    </row>
    <row r="28" spans="1:5" ht="15.6" x14ac:dyDescent="0.3">
      <c r="A28" s="1" t="s">
        <v>23</v>
      </c>
      <c r="B28" s="1"/>
      <c r="C28" s="1"/>
      <c r="D28" s="1"/>
      <c r="E28" s="1"/>
    </row>
    <row r="29" spans="1:5" x14ac:dyDescent="0.3">
      <c r="A29" s="8" t="s">
        <v>24</v>
      </c>
      <c r="B29" s="8" t="s">
        <v>22</v>
      </c>
      <c r="C29" s="8" t="s">
        <v>12</v>
      </c>
      <c r="D29" s="8" t="s">
        <v>25</v>
      </c>
      <c r="E29" s="8" t="s">
        <v>26</v>
      </c>
    </row>
    <row r="30" spans="1:5" x14ac:dyDescent="0.3">
      <c r="A30" s="9">
        <v>1.1020000000000001</v>
      </c>
      <c r="B30" s="6">
        <f>FC_AMT*A30</f>
        <v>8816000</v>
      </c>
      <c r="C30" s="6">
        <f>USD_forward</f>
        <v>8712000</v>
      </c>
      <c r="D30" s="6">
        <f>USD_mm</f>
        <v>9407185.5115026906</v>
      </c>
      <c r="E30" s="6">
        <f>MAX(K_put, A30)*FC_AMT - Premium_cost</f>
        <v>9112000</v>
      </c>
    </row>
    <row r="31" spans="1:5" x14ac:dyDescent="0.3">
      <c r="A31" s="9">
        <v>1.131</v>
      </c>
      <c r="B31" s="6">
        <f>FC_AMT*A31</f>
        <v>9048000</v>
      </c>
      <c r="C31" s="6">
        <f>USD_forward</f>
        <v>8712000</v>
      </c>
      <c r="D31" s="6">
        <f>USD_mm</f>
        <v>9407185.5115026906</v>
      </c>
      <c r="E31" s="6">
        <f>MAX(K_put, A31)*FC_AMT - Premium_cost</f>
        <v>9112000</v>
      </c>
    </row>
    <row r="32" spans="1:5" x14ac:dyDescent="0.3">
      <c r="A32" s="9">
        <v>1.1599999999999999</v>
      </c>
      <c r="B32" s="6">
        <f>FC_AMT*A32</f>
        <v>9280000</v>
      </c>
      <c r="C32" s="6">
        <f>USD_forward</f>
        <v>8712000</v>
      </c>
      <c r="D32" s="6">
        <f>USD_mm</f>
        <v>9407185.5115026906</v>
      </c>
      <c r="E32" s="6">
        <f>MAX(K_put, A32)*FC_AMT - Premium_cost</f>
        <v>9112000</v>
      </c>
    </row>
    <row r="33" spans="1:5" x14ac:dyDescent="0.3">
      <c r="A33" s="9">
        <v>1.1890000000000001</v>
      </c>
      <c r="B33" s="6">
        <f>FC_AMT*A33</f>
        <v>9512000</v>
      </c>
      <c r="C33" s="6">
        <f>USD_forward</f>
        <v>8712000</v>
      </c>
      <c r="D33" s="6">
        <f>USD_mm</f>
        <v>9407185.5115026906</v>
      </c>
      <c r="E33" s="6">
        <f>MAX(K_put, A33)*FC_AMT - Premium_cost</f>
        <v>9344000</v>
      </c>
    </row>
    <row r="34" spans="1:5" x14ac:dyDescent="0.3">
      <c r="A34" s="9">
        <v>1.218</v>
      </c>
      <c r="B34" s="6">
        <f>FC_AMT*A34</f>
        <v>9744000</v>
      </c>
      <c r="C34" s="6">
        <f>USD_forward</f>
        <v>8712000</v>
      </c>
      <c r="D34" s="6">
        <f>USD_mm</f>
        <v>9407185.5115026906</v>
      </c>
      <c r="E34" s="6">
        <f>MAX(K_put, A34)*FC_AMT - Premium_cost</f>
        <v>9576000</v>
      </c>
    </row>
    <row r="37" spans="1:5" ht="15.6" x14ac:dyDescent="0.3">
      <c r="A37" s="1" t="s">
        <v>27</v>
      </c>
    </row>
    <row r="38" spans="1:5" x14ac:dyDescent="0.3">
      <c r="A38" t="s">
        <v>28</v>
      </c>
      <c r="B38" t="s">
        <v>29</v>
      </c>
      <c r="C38" s="10">
        <f>USD_forward - USD_mm</f>
        <v>-695185.51150269061</v>
      </c>
      <c r="D38" s="11" t="str">
        <f>IF(ABS(C30)&lt;10, "OK - Parity Holds", "CHECK LOGIC")</f>
        <v>CHECK LOGIC</v>
      </c>
    </row>
    <row r="40" spans="1:5" ht="15.6" x14ac:dyDescent="0.3">
      <c r="A40" s="1" t="s">
        <v>30</v>
      </c>
    </row>
    <row r="41" spans="1:5" x14ac:dyDescent="0.3">
      <c r="A41" t="s">
        <v>31</v>
      </c>
      <c r="B41" t="s">
        <v>32</v>
      </c>
      <c r="C41" t="s">
        <v>33</v>
      </c>
    </row>
    <row r="42" spans="1:5" x14ac:dyDescent="0.3">
      <c r="A42" t="s">
        <v>34</v>
      </c>
      <c r="B42" t="s">
        <v>12</v>
      </c>
      <c r="C42">
        <f>FC_AMT * F0</f>
        <v>8712000</v>
      </c>
    </row>
    <row r="43" spans="1:5" x14ac:dyDescent="0.3">
      <c r="A43" t="s">
        <v>35</v>
      </c>
      <c r="B43" t="s">
        <v>36</v>
      </c>
      <c r="C43">
        <f>FC_AMT / (1 + r_EUR * t)</f>
        <v>7831620.1664219275</v>
      </c>
    </row>
    <row r="44" spans="1:5" x14ac:dyDescent="0.3">
      <c r="A44" t="s">
        <v>37</v>
      </c>
      <c r="B44" t="s">
        <v>38</v>
      </c>
      <c r="C44">
        <f>EUR_PV * S0</f>
        <v>9084679.3930494357</v>
      </c>
    </row>
    <row r="45" spans="1:5" x14ac:dyDescent="0.3">
      <c r="A45" t="s">
        <v>39</v>
      </c>
      <c r="B45" t="s">
        <v>25</v>
      </c>
      <c r="C45">
        <f>USD_PV * (1 + r_USD * t)</f>
        <v>9407185.5115026906</v>
      </c>
    </row>
    <row r="46" spans="1:5" x14ac:dyDescent="0.3">
      <c r="A46" t="s">
        <v>40</v>
      </c>
      <c r="B46" t="s">
        <v>41</v>
      </c>
      <c r="C46">
        <f>FC_AMT * Premium_put</f>
        <v>168000</v>
      </c>
    </row>
    <row r="47" spans="1:5" x14ac:dyDescent="0.3">
      <c r="A47" t="s">
        <v>42</v>
      </c>
      <c r="B47" t="s">
        <v>26</v>
      </c>
      <c r="C4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4" x14ac:dyDescent="0.3"/>
  <cols>
    <col min="1" max="1" width="20.6640625" customWidth="1"/>
    <col min="2" max="2" width="80.6640625" customWidth="1"/>
  </cols>
  <sheetData>
    <row r="1" spans="1:2" ht="15.6" x14ac:dyDescent="0.3">
      <c r="A1" s="1" t="s">
        <v>43</v>
      </c>
    </row>
    <row r="3" spans="1:2" x14ac:dyDescent="0.3">
      <c r="A3" s="12" t="s">
        <v>44</v>
      </c>
      <c r="B3" s="13" t="s">
        <v>45</v>
      </c>
    </row>
    <row r="4" spans="1:2" x14ac:dyDescent="0.3">
      <c r="A4" s="12" t="s">
        <v>46</v>
      </c>
      <c r="B4" s="13" t="s">
        <v>47</v>
      </c>
    </row>
    <row r="5" spans="1:2" x14ac:dyDescent="0.3">
      <c r="A5" s="12" t="s">
        <v>48</v>
      </c>
      <c r="B5" s="13" t="s">
        <v>49</v>
      </c>
    </row>
    <row r="6" spans="1:2" x14ac:dyDescent="0.3">
      <c r="A6" s="12"/>
      <c r="B6" s="13"/>
    </row>
    <row r="7" spans="1:2" x14ac:dyDescent="0.3">
      <c r="A7" s="12" t="s">
        <v>50</v>
      </c>
      <c r="B7" s="13"/>
    </row>
    <row r="8" spans="1:2" x14ac:dyDescent="0.3">
      <c r="A8" s="12" t="s">
        <v>3</v>
      </c>
      <c r="B8" s="13" t="s">
        <v>51</v>
      </c>
    </row>
    <row r="9" spans="1:2" x14ac:dyDescent="0.3">
      <c r="A9" s="12" t="s">
        <v>4</v>
      </c>
      <c r="B9" s="13" t="s">
        <v>52</v>
      </c>
    </row>
    <row r="10" spans="1:2" x14ac:dyDescent="0.3">
      <c r="A10" s="12" t="s">
        <v>5</v>
      </c>
      <c r="B10" s="13" t="s">
        <v>53</v>
      </c>
    </row>
    <row r="11" spans="1:2" x14ac:dyDescent="0.3">
      <c r="A11" s="12" t="s">
        <v>54</v>
      </c>
      <c r="B11" s="13" t="s">
        <v>55</v>
      </c>
    </row>
    <row r="12" spans="1:2" x14ac:dyDescent="0.3">
      <c r="A12" s="12" t="s">
        <v>9</v>
      </c>
      <c r="B12" s="13" t="s">
        <v>56</v>
      </c>
    </row>
    <row r="13" spans="1:2" x14ac:dyDescent="0.3">
      <c r="A13" s="12" t="s">
        <v>10</v>
      </c>
      <c r="B13" s="13" t="s">
        <v>57</v>
      </c>
    </row>
    <row r="14" spans="1:2" x14ac:dyDescent="0.3">
      <c r="A14" s="12"/>
      <c r="B14" s="13"/>
    </row>
    <row r="15" spans="1:2" x14ac:dyDescent="0.3">
      <c r="A15" s="12" t="s">
        <v>58</v>
      </c>
      <c r="B15" s="13"/>
    </row>
    <row r="16" spans="1:2" x14ac:dyDescent="0.3">
      <c r="A16" s="12" t="s">
        <v>59</v>
      </c>
      <c r="B16" s="13" t="s">
        <v>60</v>
      </c>
    </row>
    <row r="17" spans="1:2" ht="28.8" x14ac:dyDescent="0.3">
      <c r="A17" s="12" t="s">
        <v>61</v>
      </c>
      <c r="B17" s="13" t="s">
        <v>62</v>
      </c>
    </row>
    <row r="18" spans="1:2" ht="28.8" x14ac:dyDescent="0.3">
      <c r="A18" s="12" t="s">
        <v>63</v>
      </c>
      <c r="B18" s="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Model</vt:lpstr>
      <vt:lpstr>Documentation</vt:lpstr>
      <vt:lpstr>EUR_PV</vt:lpstr>
      <vt:lpstr>F0</vt:lpstr>
      <vt:lpstr>FC_AMT</vt:lpstr>
      <vt:lpstr>K_put</vt:lpstr>
      <vt:lpstr>Premium_cost</vt:lpstr>
      <vt:lpstr>Premium_put</vt:lpstr>
      <vt:lpstr>r_EUR</vt:lpstr>
      <vt:lpstr>r_USD</vt:lpstr>
      <vt:lpstr>S0</vt:lpstr>
      <vt:lpstr>t</vt:lpstr>
      <vt:lpstr>USD_forward</vt:lpstr>
      <vt:lpstr>USD_mm</vt:lpstr>
      <vt:lpstr>USD_PV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mason pritts</cp:lastModifiedBy>
  <dcterms:created xsi:type="dcterms:W3CDTF">2025-12-13T07:51:06Z</dcterms:created>
  <dcterms:modified xsi:type="dcterms:W3CDTF">2025-12-13T07:59:49Z</dcterms:modified>
</cp:coreProperties>
</file>